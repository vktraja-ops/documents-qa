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mortgage\"/>
    </mc:Choice>
  </mc:AlternateContent>
  <xr:revisionPtr revIDLastSave="0" documentId="13_ncr:1_{A31E8932-6FC6-4BA1-8761-B15565200455}" xr6:coauthVersionLast="47" xr6:coauthVersionMax="47" xr10:uidLastSave="{00000000-0000-0000-0000-000000000000}"/>
  <bookViews>
    <workbookView xWindow="-108" yWindow="-108" windowWidth="23256" windowHeight="12456" xr2:uid="{D0B36323-F38D-4A7E-B4C1-A96B63E67FAE}"/>
  </bookViews>
  <sheets>
    <sheet name="20%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4" l="1"/>
  <c r="C5" i="4"/>
</calcChain>
</file>

<file path=xl/sharedStrings.xml><?xml version="1.0" encoding="utf-8"?>
<sst xmlns="http://schemas.openxmlformats.org/spreadsheetml/2006/main" count="33" uniqueCount="24">
  <si>
    <t>Purchase Price</t>
  </si>
  <si>
    <t>Deposit</t>
  </si>
  <si>
    <t>Loan Amount</t>
  </si>
  <si>
    <t>Solicitors</t>
  </si>
  <si>
    <t>Total Cost</t>
  </si>
  <si>
    <t>2 Yr Fix</t>
  </si>
  <si>
    <t>5 Yr Fix</t>
  </si>
  <si>
    <t>Product</t>
  </si>
  <si>
    <t>Rate</t>
  </si>
  <si>
    <t>Monthly</t>
  </si>
  <si>
    <t>Term</t>
  </si>
  <si>
    <t>Repayment</t>
  </si>
  <si>
    <t>Lender Fee's</t>
  </si>
  <si>
    <r>
      <rPr>
        <b/>
        <sz val="11"/>
        <color theme="1"/>
        <rFont val="Calibri"/>
        <family val="2"/>
        <scheme val="minor"/>
      </rPr>
      <t xml:space="preserve">                        </t>
    </r>
    <r>
      <rPr>
        <b/>
        <u/>
        <sz val="11"/>
        <color theme="1"/>
        <rFont val="Calibri"/>
        <family val="2"/>
        <scheme val="minor"/>
      </rPr>
      <t>Purchase Details</t>
    </r>
  </si>
  <si>
    <r>
      <rPr>
        <b/>
        <sz val="11"/>
        <color theme="1"/>
        <rFont val="Calibri"/>
        <family val="2"/>
        <scheme val="minor"/>
      </rPr>
      <t xml:space="preserve">                                 </t>
    </r>
    <r>
      <rPr>
        <b/>
        <u/>
        <sz val="11"/>
        <color theme="1"/>
        <rFont val="Calibri"/>
        <family val="2"/>
        <scheme val="minor"/>
      </rPr>
      <t>Cost's</t>
    </r>
  </si>
  <si>
    <t>Valuations</t>
  </si>
  <si>
    <t>Purchase Rates</t>
  </si>
  <si>
    <t>Stamp Duty</t>
  </si>
  <si>
    <t>Approx</t>
  </si>
  <si>
    <t xml:space="preserve">                                    </t>
  </si>
  <si>
    <t>3 Yr Fix</t>
  </si>
  <si>
    <t>2 Yr Tracker</t>
  </si>
  <si>
    <t>25 Yrs</t>
  </si>
  <si>
    <t>£25K "If current residential sold to Ltd company" or "If current residential gifted to wife"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</si>
</sst>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6" fontId="0" fillId="7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9C82-39FA-40A7-86CE-E7DF40094786}">
  <dimension ref="B2:K14"/>
  <sheetViews>
    <sheetView tabSelected="1" workbookViewId="0"/>
  </sheetViews>
  <sheetFormatPr defaultColWidth="8.88671875" defaultRowHeight="14.4" x14ac:dyDescent="0.3"/>
  <cols>
    <col min="1" max="1" width="8.88671875" style="1"/>
    <col min="2" max="2" width="30.6640625" style="1" customWidth="1"/>
    <col min="3" max="3" width="12.5546875" style="2" customWidth="1"/>
    <col min="4" max="4" width="6.88671875" style="1" customWidth="1"/>
    <col min="5" max="10" width="12.109375" style="1" customWidth="1"/>
    <col min="11" max="16384" width="8.88671875" style="1"/>
  </cols>
  <sheetData>
    <row r="2" spans="2:11" ht="28.2" customHeight="1" x14ac:dyDescent="0.3">
      <c r="B2" s="3" t="s">
        <v>13</v>
      </c>
    </row>
    <row r="4" spans="2:11" ht="24" customHeight="1" x14ac:dyDescent="0.3">
      <c r="B4" s="4" t="s">
        <v>0</v>
      </c>
      <c r="C4" s="5">
        <v>700000</v>
      </c>
      <c r="H4" s="3" t="s">
        <v>16</v>
      </c>
    </row>
    <row r="5" spans="2:11" ht="24" customHeight="1" x14ac:dyDescent="0.3">
      <c r="B5" s="4" t="s">
        <v>1</v>
      </c>
      <c r="C5" s="5">
        <f>C4-C6</f>
        <v>140000</v>
      </c>
      <c r="E5" s="8" t="s">
        <v>7</v>
      </c>
      <c r="F5" s="8" t="s">
        <v>8</v>
      </c>
      <c r="G5" s="8" t="s">
        <v>10</v>
      </c>
      <c r="H5" s="8" t="s">
        <v>11</v>
      </c>
      <c r="I5" s="8" t="s">
        <v>9</v>
      </c>
      <c r="J5" s="8" t="s">
        <v>12</v>
      </c>
    </row>
    <row r="6" spans="2:11" ht="24" customHeight="1" x14ac:dyDescent="0.3">
      <c r="B6" s="4" t="s">
        <v>2</v>
      </c>
      <c r="C6" s="5">
        <v>560000</v>
      </c>
      <c r="E6" s="9" t="s">
        <v>5</v>
      </c>
      <c r="F6" s="10">
        <v>3.7600000000000001E-2</v>
      </c>
      <c r="G6" s="9" t="s">
        <v>22</v>
      </c>
      <c r="H6" s="9" t="s">
        <v>11</v>
      </c>
      <c r="I6" s="11">
        <v>2882.18</v>
      </c>
      <c r="J6" s="11">
        <v>1499</v>
      </c>
      <c r="K6" s="1" t="s">
        <v>19</v>
      </c>
    </row>
    <row r="7" spans="2:11" ht="24" customHeight="1" x14ac:dyDescent="0.3">
      <c r="E7" s="9" t="s">
        <v>20</v>
      </c>
      <c r="F7" s="10">
        <v>4.0899999999999999E-2</v>
      </c>
      <c r="G7" s="9" t="s">
        <v>22</v>
      </c>
      <c r="H7" s="9" t="s">
        <v>11</v>
      </c>
      <c r="I7" s="11">
        <v>2983.79</v>
      </c>
      <c r="J7" s="11">
        <v>999</v>
      </c>
    </row>
    <row r="8" spans="2:11" ht="24" customHeight="1" x14ac:dyDescent="0.3">
      <c r="B8" s="3" t="s">
        <v>14</v>
      </c>
      <c r="E8" s="9" t="s">
        <v>6</v>
      </c>
      <c r="F8" s="10">
        <v>3.9399999999999998E-2</v>
      </c>
      <c r="G8" s="9" t="s">
        <v>22</v>
      </c>
      <c r="H8" s="9" t="s">
        <v>11</v>
      </c>
      <c r="I8" s="11">
        <v>2937.37</v>
      </c>
      <c r="J8" s="11">
        <v>1499</v>
      </c>
      <c r="K8" s="1" t="s">
        <v>19</v>
      </c>
    </row>
    <row r="9" spans="2:11" ht="24" customHeight="1" x14ac:dyDescent="0.3">
      <c r="E9" s="9" t="s">
        <v>21</v>
      </c>
      <c r="F9" s="10">
        <v>4.2799999999999998E-2</v>
      </c>
      <c r="G9" s="9" t="s">
        <v>22</v>
      </c>
      <c r="H9" s="9" t="s">
        <v>11</v>
      </c>
      <c r="I9" s="11">
        <v>3051.29</v>
      </c>
      <c r="J9" s="11">
        <v>1599</v>
      </c>
    </row>
    <row r="10" spans="2:11" ht="24" customHeight="1" x14ac:dyDescent="0.3">
      <c r="B10" s="6" t="s">
        <v>17</v>
      </c>
      <c r="C10" s="7">
        <v>60000</v>
      </c>
      <c r="D10" s="12" t="s">
        <v>23</v>
      </c>
    </row>
    <row r="11" spans="2:11" ht="24" customHeight="1" x14ac:dyDescent="0.3">
      <c r="B11" s="6" t="s">
        <v>3</v>
      </c>
      <c r="C11" s="7">
        <v>3000</v>
      </c>
      <c r="D11" s="1" t="s">
        <v>18</v>
      </c>
    </row>
    <row r="12" spans="2:11" ht="24" customHeight="1" x14ac:dyDescent="0.3">
      <c r="B12" s="6" t="s">
        <v>15</v>
      </c>
      <c r="C12" s="7">
        <v>0</v>
      </c>
      <c r="D12" s="12"/>
    </row>
    <row r="13" spans="2:11" ht="24" customHeight="1" x14ac:dyDescent="0.3">
      <c r="B13" s="6" t="s">
        <v>1</v>
      </c>
      <c r="C13" s="7">
        <v>140000</v>
      </c>
    </row>
    <row r="14" spans="2:11" ht="24" customHeight="1" x14ac:dyDescent="0.3">
      <c r="B14" s="6" t="s">
        <v>4</v>
      </c>
      <c r="C14" s="7">
        <f>SUM(C10:C13)</f>
        <v>203000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c2bc72-5c5e-4f5c-9280-c55cb71583e1">
      <Terms xmlns="http://schemas.microsoft.com/office/infopath/2007/PartnerControls"/>
    </lcf76f155ced4ddcb4097134ff3c332f>
    <TaxCatchAll xmlns="320ac1d8-45db-4e67-aaf0-a7a3080273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95DE27E7BC04782ED93E7A5DF8BDE" ma:contentTypeVersion="18" ma:contentTypeDescription="Create a new document." ma:contentTypeScope="" ma:versionID="1977ac22cc3d9dc69528593b5fc15504">
  <xsd:schema xmlns:xsd="http://www.w3.org/2001/XMLSchema" xmlns:xs="http://www.w3.org/2001/XMLSchema" xmlns:p="http://schemas.microsoft.com/office/2006/metadata/properties" xmlns:ns2="08c2bc72-5c5e-4f5c-9280-c55cb71583e1" xmlns:ns3="320ac1d8-45db-4e67-aaf0-a7a3080273bd" targetNamespace="http://schemas.microsoft.com/office/2006/metadata/properties" ma:root="true" ma:fieldsID="bd5fb278281a99767e94ae7f0afcc982" ns2:_="" ns3:_="">
    <xsd:import namespace="08c2bc72-5c5e-4f5c-9280-c55cb71583e1"/>
    <xsd:import namespace="320ac1d8-45db-4e67-aaf0-a7a308027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2bc72-5c5e-4f5c-9280-c55cb7158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36be644-e4a0-42ee-a89a-2ed98e2b97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ac1d8-45db-4e67-aaf0-a7a3080273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877d99-f0c3-49ce-b889-3c275559fef9}" ma:internalName="TaxCatchAll" ma:showField="CatchAllData" ma:web="320ac1d8-45db-4e67-aaf0-a7a3080273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DC21DA-12FE-43FA-8BE5-FECCCAC98829}">
  <ds:schemaRefs>
    <ds:schemaRef ds:uri="http://schemas.microsoft.com/office/2006/metadata/properties"/>
    <ds:schemaRef ds:uri="http://schemas.microsoft.com/office/infopath/2007/PartnerControls"/>
    <ds:schemaRef ds:uri="08c2bc72-5c5e-4f5c-9280-c55cb71583e1"/>
    <ds:schemaRef ds:uri="320ac1d8-45db-4e67-aaf0-a7a3080273bd"/>
  </ds:schemaRefs>
</ds:datastoreItem>
</file>

<file path=customXml/itemProps2.xml><?xml version="1.0" encoding="utf-8"?>
<ds:datastoreItem xmlns:ds="http://schemas.openxmlformats.org/officeDocument/2006/customXml" ds:itemID="{30D1D07F-5C8D-419B-86BA-EDD964A4F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c2bc72-5c5e-4f5c-9280-c55cb71583e1"/>
    <ds:schemaRef ds:uri="320ac1d8-45db-4e67-aaf0-a7a308027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389E93-F7A7-4F4B-954E-C555FFE813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20%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Johnston</dc:creator>
  <cp:lastModifiedBy>Raja Kumaar VEDAMUNI KANDASAMI TIYAAGARAJ (Student)</cp:lastModifiedBy>
  <dcterms:created xsi:type="dcterms:W3CDTF">2020-09-04T14:01:30Z</dcterms:created>
  <dcterms:modified xsi:type="dcterms:W3CDTF">2025-12-14T18:40:08Z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0x0101007E995DE27E7BC04782ED93E7A5DF8BDE</vt:lpwstr>
  </property>
  <property fmtid="{D5CDD505-2E9C-101B-9397-08002B2CF9AE}" pid="3" name="MediaServiceImageTags">
    <vt:lpwstr/>
  </property>
</Properties>
</file>